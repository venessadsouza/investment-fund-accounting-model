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es\Downloads\"/>
    </mc:Choice>
  </mc:AlternateContent>
  <xr:revisionPtr revIDLastSave="0" documentId="8_{995957DC-10D4-425E-9A23-D9ABF14F7000}" xr6:coauthVersionLast="47" xr6:coauthVersionMax="47" xr10:uidLastSave="{00000000-0000-0000-0000-000000000000}"/>
  <bookViews>
    <workbookView xWindow="-23148" yWindow="-13068" windowWidth="23256" windowHeight="12456" activeTab="1" xr2:uid="{79C2498E-51FB-4268-B807-B8A6F4B33BCE}"/>
  </bookViews>
  <sheets>
    <sheet name="NAV Model" sheetId="1" r:id="rId1"/>
    <sheet name="Cash_Reconcili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2" l="1"/>
  <c r="F3" i="2" s="1"/>
  <c r="E4" i="2"/>
  <c r="F4" i="2" s="1"/>
  <c r="E5" i="2"/>
  <c r="F5" i="2" s="1"/>
  <c r="E6" i="2"/>
  <c r="F6" i="2" s="1"/>
  <c r="E2" i="2"/>
  <c r="F2" i="2" s="1"/>
  <c r="F4" i="1"/>
  <c r="F3" i="1"/>
  <c r="F2" i="1"/>
  <c r="E22" i="1"/>
  <c r="E4" i="1"/>
  <c r="E3" i="1"/>
  <c r="E2" i="1"/>
  <c r="E5" i="1" s="1"/>
  <c r="E20" i="1" s="1"/>
  <c r="E10" i="1" s="1"/>
  <c r="E14" i="1" s="1"/>
  <c r="E17" i="1" s="1"/>
</calcChain>
</file>

<file path=xl/sharedStrings.xml><?xml version="1.0" encoding="utf-8"?>
<sst xmlns="http://schemas.openxmlformats.org/spreadsheetml/2006/main" count="34" uniqueCount="34">
  <si>
    <t>AAPL</t>
  </si>
  <si>
    <t>MSFT</t>
  </si>
  <si>
    <t>NVDA</t>
  </si>
  <si>
    <t xml:space="preserve"> Apple</t>
  </si>
  <si>
    <t xml:space="preserve"> Microsoft</t>
  </si>
  <si>
    <t xml:space="preserve"> Nvidia</t>
  </si>
  <si>
    <t xml:space="preserve"> Ticker  </t>
  </si>
  <si>
    <t xml:space="preserve">Quantity  </t>
  </si>
  <si>
    <t xml:space="preserve"> Price  </t>
  </si>
  <si>
    <t>Market Value</t>
  </si>
  <si>
    <t>Liabilities</t>
  </si>
  <si>
    <t xml:space="preserve">Management Fee Payable   </t>
  </si>
  <si>
    <t>Audit Fee Payable</t>
  </si>
  <si>
    <t>Other Expenses</t>
  </si>
  <si>
    <t>Total Liabilities</t>
  </si>
  <si>
    <t>Units Outstanding</t>
  </si>
  <si>
    <t>NAV per Unit</t>
  </si>
  <si>
    <t xml:space="preserve">Company  </t>
  </si>
  <si>
    <t>Total AUM</t>
  </si>
  <si>
    <t>Management Fee %</t>
  </si>
  <si>
    <t>Management Fee</t>
  </si>
  <si>
    <t>Daily Return %</t>
  </si>
  <si>
    <t>Weight %</t>
  </si>
  <si>
    <t>Date</t>
  </si>
  <si>
    <t>Description</t>
  </si>
  <si>
    <t>Ledger Cash</t>
  </si>
  <si>
    <t>Bank Cash</t>
  </si>
  <si>
    <t>Difference</t>
  </si>
  <si>
    <t>Status</t>
  </si>
  <si>
    <t>Opening Cash</t>
  </si>
  <si>
    <t>Dividend Received</t>
  </si>
  <si>
    <t>Management Fee Paid</t>
  </si>
  <si>
    <t>Audit Fee Paid</t>
  </si>
  <si>
    <t>Trade Settlement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</si>
</sst>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70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70" fontId="0" fillId="0" borderId="0" xfId="0" applyNumberForma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0" fillId="0" borderId="1" xfId="0" applyBorder="1"/>
    <xf numFmtId="170" fontId="0" fillId="0" borderId="1" xfId="0" applyNumberFormat="1" applyBorder="1"/>
    <xf numFmtId="44" fontId="0" fillId="0" borderId="1" xfId="1" applyFont="1" applyBorder="1"/>
    <xf numFmtId="9" fontId="0" fillId="0" borderId="1" xfId="0" applyNumberForma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6" xfId="0" applyBorder="1"/>
    <xf numFmtId="10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2" fillId="0" borderId="6" xfId="0" applyFont="1" applyBorder="1"/>
    <xf numFmtId="0" fontId="3" fillId="2" borderId="6" xfId="0" applyFont="1" applyFill="1" applyBorder="1"/>
    <xf numFmtId="0" fontId="0" fillId="0" borderId="10" xfId="0" applyBorder="1"/>
    <xf numFmtId="0" fontId="0" fillId="0" borderId="11" xfId="0" applyBorder="1"/>
    <xf numFmtId="9" fontId="0" fillId="0" borderId="11" xfId="2" applyFont="1" applyBorder="1"/>
    <xf numFmtId="0" fontId="0" fillId="0" borderId="1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70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0" fillId="0" borderId="6" xfId="0" applyNumberFormat="1" applyBorder="1"/>
    <xf numFmtId="14" fontId="0" fillId="0" borderId="10" xfId="0" applyNumberFormat="1" applyBorder="1"/>
    <xf numFmtId="170" fontId="0" fillId="0" borderId="11" xfId="0" applyNumberFormat="1" applyBorder="1"/>
    <xf numFmtId="0" fontId="0" fillId="0" borderId="13" xfId="0" applyBorder="1"/>
  </cellXfs>
  <cellStyles count="3">
    <cellStyle name="Currency" xfId="1" builtinId="4"/>
    <cellStyle name="Normal" xfId="0" builtinId="0"/>
    <cellStyle name="Percent" xfId="2" builtinId="5"/>
  </cellStyles>
  <dxfs count="3"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7FE2-2D66-448F-9358-6EDDEAD7073D}">
  <dimension ref="A1:F22"/>
  <sheetViews>
    <sheetView workbookViewId="0">
      <selection activeCell="I11" sqref="I11"/>
    </sheetView>
  </sheetViews>
  <sheetFormatPr defaultRowHeight="14.5" x14ac:dyDescent="0.35"/>
  <cols>
    <col min="1" max="1" width="17.81640625" customWidth="1"/>
    <col min="4" max="4" width="10.08984375" customWidth="1"/>
    <col min="5" max="5" width="13.7265625" customWidth="1"/>
  </cols>
  <sheetData>
    <row r="1" spans="1:6" s="2" customFormat="1" x14ac:dyDescent="0.35">
      <c r="A1" s="8" t="s">
        <v>17</v>
      </c>
      <c r="B1" s="9" t="s">
        <v>6</v>
      </c>
      <c r="C1" s="9" t="s">
        <v>7</v>
      </c>
      <c r="D1" s="9" t="s">
        <v>8</v>
      </c>
      <c r="E1" s="9" t="s">
        <v>9</v>
      </c>
      <c r="F1" s="10" t="s">
        <v>22</v>
      </c>
    </row>
    <row r="2" spans="1:6" x14ac:dyDescent="0.35">
      <c r="A2" s="11" t="s">
        <v>3</v>
      </c>
      <c r="B2" s="4" t="s">
        <v>0</v>
      </c>
      <c r="C2" s="4">
        <v>50</v>
      </c>
      <c r="D2" s="5">
        <v>300</v>
      </c>
      <c r="E2" s="5">
        <f>C2*D2</f>
        <v>15000</v>
      </c>
      <c r="F2" s="12">
        <f>E2/E5</f>
        <v>0.40268456375838924</v>
      </c>
    </row>
    <row r="3" spans="1:6" x14ac:dyDescent="0.35">
      <c r="A3" s="11" t="s">
        <v>4</v>
      </c>
      <c r="B3" s="4" t="s">
        <v>1</v>
      </c>
      <c r="C3" s="4">
        <v>40</v>
      </c>
      <c r="D3" s="5">
        <v>410</v>
      </c>
      <c r="E3" s="5">
        <f t="shared" ref="E3:E4" si="0">C3*D3</f>
        <v>16400</v>
      </c>
      <c r="F3" s="12">
        <f>E3/E5</f>
        <v>0.44026845637583895</v>
      </c>
    </row>
    <row r="4" spans="1:6" x14ac:dyDescent="0.35">
      <c r="A4" s="11" t="s">
        <v>5</v>
      </c>
      <c r="B4" s="4" t="s">
        <v>2</v>
      </c>
      <c r="C4" s="4">
        <v>30</v>
      </c>
      <c r="D4" s="5">
        <v>195</v>
      </c>
      <c r="E4" s="5">
        <f t="shared" si="0"/>
        <v>5850</v>
      </c>
      <c r="F4" s="12">
        <f>E4/E5</f>
        <v>0.15704697986577182</v>
      </c>
    </row>
    <row r="5" spans="1:6" x14ac:dyDescent="0.35">
      <c r="A5" s="11" t="s">
        <v>18</v>
      </c>
      <c r="B5" s="4"/>
      <c r="C5" s="4"/>
      <c r="D5" s="4"/>
      <c r="E5" s="4">
        <f>SUM(E2:E4)</f>
        <v>37250</v>
      </c>
      <c r="F5" s="13"/>
    </row>
    <row r="6" spans="1:6" x14ac:dyDescent="0.35">
      <c r="A6" s="14"/>
      <c r="B6" s="15"/>
      <c r="C6" s="15"/>
      <c r="D6" s="15"/>
      <c r="E6" s="15"/>
      <c r="F6" s="16"/>
    </row>
    <row r="7" spans="1:6" x14ac:dyDescent="0.35">
      <c r="A7" s="14"/>
      <c r="B7" s="15"/>
      <c r="C7" s="15"/>
      <c r="D7" s="15"/>
      <c r="E7" s="15"/>
      <c r="F7" s="16"/>
    </row>
    <row r="8" spans="1:6" x14ac:dyDescent="0.35">
      <c r="A8" s="14"/>
      <c r="B8" s="15"/>
      <c r="C8" s="15"/>
      <c r="D8" s="15"/>
      <c r="E8" s="15"/>
      <c r="F8" s="16"/>
    </row>
    <row r="9" spans="1:6" x14ac:dyDescent="0.35">
      <c r="A9" s="17" t="s">
        <v>10</v>
      </c>
      <c r="B9" s="4"/>
      <c r="C9" s="4"/>
      <c r="D9" s="4"/>
      <c r="E9" s="4"/>
      <c r="F9" s="16"/>
    </row>
    <row r="10" spans="1:6" x14ac:dyDescent="0.35">
      <c r="A10" s="11" t="s">
        <v>11</v>
      </c>
      <c r="B10" s="4"/>
      <c r="C10" s="4"/>
      <c r="D10" s="4"/>
      <c r="E10" s="6">
        <f>E20</f>
        <v>1117.5</v>
      </c>
      <c r="F10" s="16"/>
    </row>
    <row r="11" spans="1:6" x14ac:dyDescent="0.35">
      <c r="A11" s="11" t="s">
        <v>12</v>
      </c>
      <c r="B11" s="4"/>
      <c r="C11" s="4"/>
      <c r="D11" s="4"/>
      <c r="E11" s="6">
        <v>300</v>
      </c>
      <c r="F11" s="16"/>
    </row>
    <row r="12" spans="1:6" x14ac:dyDescent="0.35">
      <c r="A12" s="11" t="s">
        <v>13</v>
      </c>
      <c r="B12" s="4"/>
      <c r="C12" s="4"/>
      <c r="D12" s="4"/>
      <c r="E12" s="6">
        <v>200</v>
      </c>
      <c r="F12" s="16"/>
    </row>
    <row r="13" spans="1:6" x14ac:dyDescent="0.35">
      <c r="A13" s="14"/>
      <c r="B13" s="15"/>
      <c r="C13" s="15"/>
      <c r="D13" s="15"/>
      <c r="E13" s="15"/>
      <c r="F13" s="16"/>
    </row>
    <row r="14" spans="1:6" x14ac:dyDescent="0.35">
      <c r="A14" s="17" t="s">
        <v>14</v>
      </c>
      <c r="B14" s="4"/>
      <c r="C14" s="4"/>
      <c r="D14" s="4"/>
      <c r="E14" s="4">
        <f>SUM(E10:E12)</f>
        <v>1617.5</v>
      </c>
      <c r="F14" s="16"/>
    </row>
    <row r="15" spans="1:6" x14ac:dyDescent="0.35">
      <c r="A15" s="14"/>
      <c r="B15" s="15"/>
      <c r="C15" s="15"/>
      <c r="D15" s="15"/>
      <c r="E15" s="15"/>
      <c r="F15" s="16"/>
    </row>
    <row r="16" spans="1:6" x14ac:dyDescent="0.35">
      <c r="A16" s="11" t="s">
        <v>15</v>
      </c>
      <c r="B16" s="4"/>
      <c r="C16" s="4"/>
      <c r="D16" s="4"/>
      <c r="E16" s="4">
        <v>1000</v>
      </c>
      <c r="F16" s="16"/>
    </row>
    <row r="17" spans="1:6" ht="16" x14ac:dyDescent="0.4">
      <c r="A17" s="18" t="s">
        <v>16</v>
      </c>
      <c r="B17" s="4"/>
      <c r="C17" s="4"/>
      <c r="D17" s="4"/>
      <c r="E17" s="4">
        <f>(E5-E14)/E16</f>
        <v>35.6325</v>
      </c>
      <c r="F17" s="16"/>
    </row>
    <row r="18" spans="1:6" x14ac:dyDescent="0.35">
      <c r="A18" s="14"/>
      <c r="B18" s="15"/>
      <c r="C18" s="15"/>
      <c r="D18" s="15"/>
      <c r="E18" s="15"/>
      <c r="F18" s="16"/>
    </row>
    <row r="19" spans="1:6" x14ac:dyDescent="0.35">
      <c r="A19" s="11" t="s">
        <v>19</v>
      </c>
      <c r="B19" s="4"/>
      <c r="C19" s="4"/>
      <c r="D19" s="4"/>
      <c r="E19" s="7">
        <v>0.03</v>
      </c>
      <c r="F19" s="16"/>
    </row>
    <row r="20" spans="1:6" x14ac:dyDescent="0.35">
      <c r="A20" s="11" t="s">
        <v>20</v>
      </c>
      <c r="B20" s="4"/>
      <c r="C20" s="4"/>
      <c r="D20" s="4"/>
      <c r="E20" s="4">
        <f>E5*E19</f>
        <v>1117.5</v>
      </c>
      <c r="F20" s="16"/>
    </row>
    <row r="21" spans="1:6" x14ac:dyDescent="0.35">
      <c r="A21" s="14"/>
      <c r="B21" s="15"/>
      <c r="C21" s="15"/>
      <c r="D21" s="15"/>
      <c r="E21" s="15"/>
      <c r="F21" s="16"/>
    </row>
    <row r="22" spans="1:6" ht="15" thickBot="1" x14ac:dyDescent="0.4">
      <c r="A22" s="19" t="s">
        <v>21</v>
      </c>
      <c r="B22" s="20"/>
      <c r="C22" s="20"/>
      <c r="D22" s="20"/>
      <c r="E22" s="21">
        <f>(E17-35.25)/35.25</f>
        <v>1.0851063829787242E-2</v>
      </c>
      <c r="F22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DDB7-A35E-4288-8D41-88539899F5C6}">
  <dimension ref="A1:F6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.5" x14ac:dyDescent="0.35"/>
  <cols>
    <col min="1" max="1" width="10.08984375" bestFit="1" customWidth="1"/>
    <col min="2" max="2" width="10.1796875" bestFit="1" customWidth="1"/>
    <col min="3" max="3" width="10.81640625" bestFit="1" customWidth="1"/>
    <col min="4" max="4" width="9.36328125" bestFit="1" customWidth="1"/>
    <col min="5" max="5" width="9.26953125" style="1" bestFit="1" customWidth="1"/>
    <col min="6" max="6" width="13" customWidth="1"/>
  </cols>
  <sheetData>
    <row r="1" spans="1:6" s="3" customFormat="1" x14ac:dyDescent="0.35">
      <c r="A1" s="23" t="s">
        <v>23</v>
      </c>
      <c r="B1" s="24" t="s">
        <v>24</v>
      </c>
      <c r="C1" s="24" t="s">
        <v>25</v>
      </c>
      <c r="D1" s="24" t="s">
        <v>26</v>
      </c>
      <c r="E1" s="25" t="s">
        <v>27</v>
      </c>
      <c r="F1" s="26" t="s">
        <v>28</v>
      </c>
    </row>
    <row r="2" spans="1:6" x14ac:dyDescent="0.35">
      <c r="A2" s="27">
        <v>46143</v>
      </c>
      <c r="B2" s="4" t="s">
        <v>29</v>
      </c>
      <c r="C2" s="4">
        <v>10000</v>
      </c>
      <c r="D2" s="4">
        <v>10000</v>
      </c>
      <c r="E2" s="5">
        <f>C2-D2</f>
        <v>0</v>
      </c>
      <c r="F2" s="13" t="str">
        <f>IF(ABS(E2)&lt;1,"Reconciled","Investigate")</f>
        <v>Reconciled</v>
      </c>
    </row>
    <row r="3" spans="1:6" x14ac:dyDescent="0.35">
      <c r="A3" s="27">
        <v>46144</v>
      </c>
      <c r="B3" s="4" t="s">
        <v>30</v>
      </c>
      <c r="C3" s="4">
        <v>1200</v>
      </c>
      <c r="D3" s="4">
        <v>1200</v>
      </c>
      <c r="E3" s="5">
        <f t="shared" ref="E3:E6" si="0">C3-D3</f>
        <v>0</v>
      </c>
      <c r="F3" s="13" t="str">
        <f t="shared" ref="F3:F6" si="1">IF(E3=0, "Reconciled","Investigate")</f>
        <v>Reconciled</v>
      </c>
    </row>
    <row r="4" spans="1:6" x14ac:dyDescent="0.35">
      <c r="A4" s="27">
        <v>46145</v>
      </c>
      <c r="B4" s="4" t="s">
        <v>31</v>
      </c>
      <c r="C4" s="4">
        <v>-725</v>
      </c>
      <c r="D4" s="4">
        <v>-725</v>
      </c>
      <c r="E4" s="5">
        <f t="shared" si="0"/>
        <v>0</v>
      </c>
      <c r="F4" s="13" t="str">
        <f t="shared" si="1"/>
        <v>Reconciled</v>
      </c>
    </row>
    <row r="5" spans="1:6" x14ac:dyDescent="0.35">
      <c r="A5" s="27">
        <v>46146</v>
      </c>
      <c r="B5" s="4" t="s">
        <v>32</v>
      </c>
      <c r="C5" s="4">
        <v>-300</v>
      </c>
      <c r="D5" s="4">
        <v>0</v>
      </c>
      <c r="E5" s="5">
        <f t="shared" si="0"/>
        <v>-300</v>
      </c>
      <c r="F5" s="13" t="str">
        <f t="shared" si="1"/>
        <v>Investigate</v>
      </c>
    </row>
    <row r="6" spans="1:6" ht="15" thickBot="1" x14ac:dyDescent="0.4">
      <c r="A6" s="28">
        <v>46147</v>
      </c>
      <c r="B6" s="20" t="s">
        <v>33</v>
      </c>
      <c r="C6" s="20">
        <v>-2500</v>
      </c>
      <c r="D6" s="20">
        <v>-2500</v>
      </c>
      <c r="E6" s="29">
        <f t="shared" si="0"/>
        <v>0</v>
      </c>
      <c r="F6" s="30" t="str">
        <f t="shared" si="1"/>
        <v>Reconciled</v>
      </c>
    </row>
  </sheetData>
  <conditionalFormatting sqref="F2:F6">
    <cfRule type="containsText" dxfId="1" priority="1" operator="containsText" text="Reconciled">
      <formula>NOT(ISERROR(SEARCH("Reconciled",F2)))</formula>
    </cfRule>
    <cfRule type="containsText" dxfId="0" priority="2" operator="containsText" text="Investigate">
      <formula>NOT(ISERROR(SEARCH("Investigate",F2)))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 Model</vt:lpstr>
      <vt:lpstr>Cash_Reconciliation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Venessa D'souza</dc:creator>
  <cp:lastModifiedBy>Venessa D'souza</cp:lastModifiedBy>
  <dcterms:created xsi:type="dcterms:W3CDTF">2026-05-01T21:29:21Z</dcterms:created>
  <dcterms:modified xsi:type="dcterms:W3CDTF">2026-05-01T22:30:30Z</dcterms:modified>
</cp:coreProperties>
</file>